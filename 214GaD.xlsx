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888D336-0DFE-44EB-8149-D75F0B952128}" xr6:coauthVersionLast="36" xr6:coauthVersionMax="36" xr10:uidLastSave="{00000000-0000-0000-0000-000000000000}"/>
  <bookViews>
    <workbookView xWindow="0" yWindow="0" windowWidth="28800" windowHeight="11625" activeTab="3" xr2:uid="{1B9C2B8A-B6A5-40C9-A590-A5D274FF9530}"/>
  </bookViews>
  <sheets>
    <sheet name="Лист1" sheetId="1" r:id="rId1"/>
    <sheet name="Лист2" sheetId="2" r:id="rId2"/>
    <sheet name="Лист3" sheetId="3" r:id="rId3"/>
    <sheet name="Лист4" sheetId="4" r:id="rId4"/>
  </sheets>
  <definedNames>
    <definedName name="solver_adj" localSheetId="0" hidden="1">Лист1!$B$3:$E$3</definedName>
    <definedName name="solver_adj" localSheetId="1" hidden="1">Лист2!$B$3:$E$4</definedName>
    <definedName name="solver_adj" localSheetId="2" hidden="1">Лист3!$B$3:$E$3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2</definedName>
    <definedName name="solver_eng" localSheetId="0" hidden="1">2</definedName>
    <definedName name="solver_eng" localSheetId="1" hidden="1">1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Лист1!$B$3:$E$3</definedName>
    <definedName name="solver_lhs1" localSheetId="1" hidden="1">Лист2!$B$3:$E$3</definedName>
    <definedName name="solver_lhs1" localSheetId="2" hidden="1">Лист3!$B$3:$E$3</definedName>
    <definedName name="solver_lhs2" localSheetId="0" hidden="1">Лист1!$G$10</definedName>
    <definedName name="solver_lhs2" localSheetId="1" hidden="1">Лист2!$G$10</definedName>
    <definedName name="solver_lhs2" localSheetId="2" hidden="1">Лист3!$G$10</definedName>
    <definedName name="solver_lhs3" localSheetId="0" hidden="1">Лист1!$G$11</definedName>
    <definedName name="solver_lhs3" localSheetId="1" hidden="1">Лист2!$G$11</definedName>
    <definedName name="solver_lhs3" localSheetId="2" hidden="1">Лист3!$G$11</definedName>
    <definedName name="solver_lhs4" localSheetId="0" hidden="1">Лист1!$G$12</definedName>
    <definedName name="solver_lhs4" localSheetId="1" hidden="1">Лист2!$G$12</definedName>
    <definedName name="solver_lhs4" localSheetId="2" hidden="1">Лист3!$G$12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4</definedName>
    <definedName name="solver_num" localSheetId="1" hidden="1">4</definedName>
    <definedName name="solver_num" localSheetId="2" hidden="1">4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Лист1!$D$12</definedName>
    <definedName name="solver_opt" localSheetId="1" hidden="1">Лист2!$F$5</definedName>
    <definedName name="solver_opt" localSheetId="2" hidden="1">Лист3!$F$5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2</definedName>
    <definedName name="solver_rel1" localSheetId="0" hidden="1">3</definedName>
    <definedName name="solver_rel1" localSheetId="1" hidden="1">3</definedName>
    <definedName name="solver_rel1" localSheetId="2" hidden="1">3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3" localSheetId="0" hidden="1">3</definedName>
    <definedName name="solver_rel3" localSheetId="1" hidden="1">3</definedName>
    <definedName name="solver_rel3" localSheetId="2" hidden="1">2</definedName>
    <definedName name="solver_rel4" localSheetId="0" hidden="1">1</definedName>
    <definedName name="solver_rel4" localSheetId="1" hidden="1">1</definedName>
    <definedName name="solver_rel4" localSheetId="2" hidden="1">2</definedName>
    <definedName name="solver_rhs1" localSheetId="0" hidden="1">Лист1!$B$4:$E$4</definedName>
    <definedName name="solver_rhs1" localSheetId="1" hidden="1">Лист2!$B$4:$E$4</definedName>
    <definedName name="solver_rhs1" localSheetId="2" hidden="1">0</definedName>
    <definedName name="solver_rhs2" localSheetId="0" hidden="1">Лист1!$I$10</definedName>
    <definedName name="solver_rhs2" localSheetId="1" hidden="1">Лист2!$I$10</definedName>
    <definedName name="solver_rhs2" localSheetId="2" hidden="1">Лист3!$I$10</definedName>
    <definedName name="solver_rhs3" localSheetId="0" hidden="1">Лист1!$I$11</definedName>
    <definedName name="solver_rhs3" localSheetId="1" hidden="1">Лист2!$I$11</definedName>
    <definedName name="solver_rhs3" localSheetId="2" hidden="1">Лист3!$I$11</definedName>
    <definedName name="solver_rhs4" localSheetId="0" hidden="1">Лист1!$I$12</definedName>
    <definedName name="solver_rhs4" localSheetId="1" hidden="1">Лист2!$I$12</definedName>
    <definedName name="solver_rhs4" localSheetId="2" hidden="1">Лист3!$I$12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4" l="1"/>
  <c r="G12" i="4"/>
  <c r="G11" i="4"/>
  <c r="F5" i="4"/>
  <c r="G12" i="3"/>
  <c r="G11" i="3"/>
  <c r="G10" i="3"/>
  <c r="F5" i="3"/>
  <c r="G12" i="2" l="1"/>
  <c r="G11" i="2"/>
  <c r="G10" i="2"/>
  <c r="F5" i="2"/>
  <c r="G12" i="1"/>
  <c r="G11" i="1"/>
  <c r="G10" i="1"/>
  <c r="F5" i="1"/>
</calcChain>
</file>

<file path=xl/sharedStrings.xml><?xml version="1.0" encoding="utf-8"?>
<sst xmlns="http://schemas.openxmlformats.org/spreadsheetml/2006/main" count="96" uniqueCount="25">
  <si>
    <t>Переменные</t>
  </si>
  <si>
    <t>Имя</t>
  </si>
  <si>
    <t>X1</t>
  </si>
  <si>
    <t>X2</t>
  </si>
  <si>
    <t>X3</t>
  </si>
  <si>
    <t>X4</t>
  </si>
  <si>
    <t>нижняя гр</t>
  </si>
  <si>
    <t>Значения</t>
  </si>
  <si>
    <t>Коеф ЦФ</t>
  </si>
  <si>
    <t>Значение</t>
  </si>
  <si>
    <t>Направление</t>
  </si>
  <si>
    <t>MAX</t>
  </si>
  <si>
    <t>ЦФ</t>
  </si>
  <si>
    <t>Вид</t>
  </si>
  <si>
    <t>Ограничение</t>
  </si>
  <si>
    <t>Лев часть</t>
  </si>
  <si>
    <t>Знак</t>
  </si>
  <si>
    <t>Прав часть</t>
  </si>
  <si>
    <t>Ограничение 1</t>
  </si>
  <si>
    <t>Ограничение 2</t>
  </si>
  <si>
    <t>Ограничение3</t>
  </si>
  <si>
    <t>=</t>
  </si>
  <si>
    <t>&gt;=</t>
  </si>
  <si>
    <t>&lt;=</t>
  </si>
  <si>
    <t>`-1,5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</si>
</sst>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2" fontId="0" fillId="0" borderId="0" xfId="0" applyNumberForma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1D7B-E528-4055-A5C9-C62ABD57D544}">
  <dimension ref="A1:I12"/>
  <sheetViews>
    <sheetView workbookViewId="0">
      <selection activeCell="K16" sqref="A1:K16"/>
    </sheetView>
  </sheetViews>
  <sheetFormatPr defaultRowHeight="15" x14ac:dyDescent="0.25"/>
  <cols>
    <col min="1" max="1" width="9.140625" customWidth="1"/>
  </cols>
  <sheetData>
    <row r="1" spans="1:9" x14ac:dyDescent="0.25">
      <c r="A1" s="1" t="s">
        <v>0</v>
      </c>
      <c r="B1" s="1"/>
      <c r="C1" s="1"/>
      <c r="D1" s="1"/>
      <c r="E1" s="1"/>
      <c r="F1" s="1"/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9" x14ac:dyDescent="0.25">
      <c r="A3" t="s">
        <v>7</v>
      </c>
      <c r="F3" t="s">
        <v>12</v>
      </c>
    </row>
    <row r="4" spans="1:9" x14ac:dyDescent="0.25">
      <c r="A4" t="s">
        <v>6</v>
      </c>
      <c r="B4">
        <v>0</v>
      </c>
      <c r="C4">
        <v>0</v>
      </c>
      <c r="D4">
        <v>0</v>
      </c>
      <c r="E4">
        <v>0</v>
      </c>
      <c r="F4" t="s">
        <v>9</v>
      </c>
      <c r="G4" t="s">
        <v>10</v>
      </c>
    </row>
    <row r="5" spans="1:9" x14ac:dyDescent="0.25">
      <c r="A5" t="s">
        <v>8</v>
      </c>
      <c r="B5">
        <v>130.5</v>
      </c>
      <c r="C5">
        <v>20</v>
      </c>
      <c r="D5">
        <v>56</v>
      </c>
      <c r="E5">
        <v>87.8</v>
      </c>
      <c r="F5">
        <f>SUMPRODUCT(B$3:E$3,B5:E5)</f>
        <v>0</v>
      </c>
      <c r="G5" t="s">
        <v>11</v>
      </c>
    </row>
    <row r="8" spans="1:9" x14ac:dyDescent="0.25">
      <c r="A8" s="1" t="s">
        <v>14</v>
      </c>
      <c r="B8" s="1"/>
      <c r="C8" s="1"/>
      <c r="D8" s="1"/>
      <c r="E8" s="1"/>
      <c r="F8" s="1"/>
      <c r="G8" s="1"/>
    </row>
    <row r="9" spans="1:9" x14ac:dyDescent="0.25">
      <c r="A9" t="s">
        <v>13</v>
      </c>
      <c r="B9" s="1"/>
      <c r="C9" s="1"/>
      <c r="D9" s="1"/>
      <c r="G9" t="s">
        <v>15</v>
      </c>
      <c r="H9" t="s">
        <v>16</v>
      </c>
      <c r="I9" t="s">
        <v>17</v>
      </c>
    </row>
    <row r="10" spans="1:9" x14ac:dyDescent="0.25">
      <c r="A10" t="s">
        <v>18</v>
      </c>
      <c r="C10" s="2">
        <v>-1.8</v>
      </c>
      <c r="D10">
        <v>2</v>
      </c>
      <c r="E10">
        <v>1</v>
      </c>
      <c r="F10">
        <v>-4</v>
      </c>
      <c r="G10">
        <f>SUMPRODUCT(B$3:E$3,C10:F10)</f>
        <v>0</v>
      </c>
      <c r="H10" t="s">
        <v>21</v>
      </c>
      <c r="I10">
        <v>756</v>
      </c>
    </row>
    <row r="11" spans="1:9" x14ac:dyDescent="0.25">
      <c r="A11" t="s">
        <v>19</v>
      </c>
      <c r="C11">
        <v>-6</v>
      </c>
      <c r="D11">
        <v>2</v>
      </c>
      <c r="E11">
        <v>4</v>
      </c>
      <c r="F11">
        <v>-1</v>
      </c>
      <c r="G11">
        <f>SUMPRODUCT(B$3:E$3,C11:F11)</f>
        <v>0</v>
      </c>
      <c r="H11" t="s">
        <v>22</v>
      </c>
      <c r="I11">
        <v>450</v>
      </c>
    </row>
    <row r="12" spans="1:9" x14ac:dyDescent="0.25">
      <c r="A12" t="s">
        <v>20</v>
      </c>
      <c r="C12">
        <v>4</v>
      </c>
      <c r="D12" s="2" t="s">
        <v>24</v>
      </c>
      <c r="E12">
        <v>10.4</v>
      </c>
      <c r="F12">
        <v>13</v>
      </c>
      <c r="G12">
        <f>SUMPRODUCT(B$3:E$3,C12:F12)</f>
        <v>0</v>
      </c>
      <c r="H12" t="s">
        <v>23</v>
      </c>
      <c r="I12">
        <v>89</v>
      </c>
    </row>
  </sheetData>
  <mergeCells count="3">
    <mergeCell ref="A1:F1"/>
    <mergeCell ref="A8:G8"/>
    <mergeCell ref="B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58CA-45B8-407B-99D9-2D83B14EE36B}">
  <dimension ref="A1:I12"/>
  <sheetViews>
    <sheetView workbookViewId="0">
      <selection activeCell="I12" sqref="A1:I12"/>
    </sheetView>
  </sheetViews>
  <sheetFormatPr defaultRowHeight="15" x14ac:dyDescent="0.25"/>
  <sheetData>
    <row r="1" spans="1:9" x14ac:dyDescent="0.25">
      <c r="A1" s="1" t="s">
        <v>0</v>
      </c>
      <c r="B1" s="1"/>
      <c r="C1" s="1"/>
      <c r="D1" s="1"/>
      <c r="E1" s="1"/>
      <c r="F1" s="1"/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9" x14ac:dyDescent="0.25">
      <c r="A3" t="s">
        <v>7</v>
      </c>
      <c r="B3">
        <v>100.66066322454873</v>
      </c>
      <c r="C3">
        <v>546.44445539273056</v>
      </c>
      <c r="D3">
        <v>0</v>
      </c>
      <c r="E3">
        <v>38.924926077387944</v>
      </c>
      <c r="F3" t="s">
        <v>12</v>
      </c>
    </row>
    <row r="4" spans="1:9" x14ac:dyDescent="0.25">
      <c r="A4" t="s">
        <v>6</v>
      </c>
      <c r="B4">
        <v>100.66066322454873</v>
      </c>
      <c r="C4">
        <v>546.44445539273056</v>
      </c>
      <c r="D4">
        <v>1.7763568394002505E-15</v>
      </c>
      <c r="E4">
        <v>38.924926077387944</v>
      </c>
      <c r="F4" t="s">
        <v>9</v>
      </c>
      <c r="G4" t="s">
        <v>10</v>
      </c>
    </row>
    <row r="5" spans="1:9" x14ac:dyDescent="0.25">
      <c r="A5" t="s">
        <v>8</v>
      </c>
      <c r="B5">
        <v>130.5</v>
      </c>
      <c r="C5">
        <v>20</v>
      </c>
      <c r="D5">
        <v>56</v>
      </c>
      <c r="E5">
        <v>87.8</v>
      </c>
      <c r="F5">
        <f>SUMPRODUCT(B$3:E$3,B5:E5)</f>
        <v>27482.714168252882</v>
      </c>
      <c r="G5" t="s">
        <v>11</v>
      </c>
    </row>
    <row r="8" spans="1:9" x14ac:dyDescent="0.25">
      <c r="A8" s="1" t="s">
        <v>14</v>
      </c>
      <c r="B8" s="1"/>
      <c r="C8" s="1"/>
      <c r="D8" s="1"/>
      <c r="E8" s="1"/>
      <c r="F8" s="1"/>
      <c r="G8" s="1"/>
    </row>
    <row r="9" spans="1:9" x14ac:dyDescent="0.25">
      <c r="A9" t="s">
        <v>13</v>
      </c>
      <c r="B9" s="1"/>
      <c r="C9" s="1"/>
      <c r="D9" s="1"/>
      <c r="G9" t="s">
        <v>15</v>
      </c>
      <c r="H9" t="s">
        <v>16</v>
      </c>
      <c r="I9" t="s">
        <v>17</v>
      </c>
    </row>
    <row r="10" spans="1:9" x14ac:dyDescent="0.25">
      <c r="A10" s="4" t="s">
        <v>18</v>
      </c>
      <c r="B10" s="4"/>
      <c r="C10" s="3">
        <v>-1.8</v>
      </c>
      <c r="D10">
        <v>2</v>
      </c>
      <c r="E10">
        <v>1</v>
      </c>
      <c r="F10">
        <v>-4</v>
      </c>
      <c r="G10">
        <f>SUMPRODUCT(B$3:E$3,C10:F10)</f>
        <v>756.00001267172172</v>
      </c>
      <c r="H10" t="s">
        <v>21</v>
      </c>
      <c r="I10">
        <v>756</v>
      </c>
    </row>
    <row r="11" spans="1:9" x14ac:dyDescent="0.25">
      <c r="A11" s="4" t="s">
        <v>19</v>
      </c>
      <c r="B11" s="4"/>
      <c r="C11">
        <v>-6</v>
      </c>
      <c r="D11">
        <v>2</v>
      </c>
      <c r="E11">
        <v>4</v>
      </c>
      <c r="F11">
        <v>-1</v>
      </c>
      <c r="G11">
        <f>SUMPRODUCT(B$3:E$3,C11:F11)</f>
        <v>450.00000536078079</v>
      </c>
      <c r="H11" t="s">
        <v>22</v>
      </c>
      <c r="I11">
        <v>450</v>
      </c>
    </row>
    <row r="12" spans="1:9" x14ac:dyDescent="0.25">
      <c r="A12" s="4" t="s">
        <v>20</v>
      </c>
      <c r="B12" s="4"/>
      <c r="C12">
        <v>4</v>
      </c>
      <c r="D12" s="3">
        <v>-1.5</v>
      </c>
      <c r="E12">
        <v>10.4</v>
      </c>
      <c r="F12">
        <v>13</v>
      </c>
      <c r="G12">
        <f>SUMPRODUCT(B$3:E$3,C12:F12)</f>
        <v>89.000008815142337</v>
      </c>
      <c r="H12" t="s">
        <v>23</v>
      </c>
      <c r="I12">
        <v>89</v>
      </c>
    </row>
  </sheetData>
  <scenarios current="0">
    <scenario name="214Tvar" count="8" user="user" comment="Автор: user , 2/18/2026">
      <inputCells r="B3" val="22.25"/>
      <inputCells r="C3" val="398.024999719303"/>
      <inputCells r="D3" val="0"/>
      <inputCells r="E3" val="0"/>
      <inputCells r="B4" val="22.25"/>
      <inputCells r="C4" val="398.024999719303"/>
      <inputCells r="D4" val="0"/>
      <inputCells r="E4" val="0"/>
    </scenario>
  </scenarios>
  <mergeCells count="6">
    <mergeCell ref="A1:F1"/>
    <mergeCell ref="A8:G8"/>
    <mergeCell ref="B9:D9"/>
    <mergeCell ref="A10:B10"/>
    <mergeCell ref="A11:B11"/>
    <mergeCell ref="A12:B12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608F-2CD1-4A0D-9DDA-2FF682F4C075}">
  <dimension ref="A1:I12"/>
  <sheetViews>
    <sheetView workbookViewId="0">
      <selection activeCell="I12" sqref="A1:I12"/>
    </sheetView>
  </sheetViews>
  <sheetFormatPr defaultRowHeight="15" x14ac:dyDescent="0.25"/>
  <sheetData>
    <row r="1" spans="1:9" x14ac:dyDescent="0.25">
      <c r="A1" s="1" t="s">
        <v>0</v>
      </c>
      <c r="B1" s="1"/>
      <c r="C1" s="1"/>
      <c r="D1" s="1"/>
      <c r="E1" s="1"/>
      <c r="F1" s="1"/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9" x14ac:dyDescent="0.25">
      <c r="A3" t="s">
        <v>7</v>
      </c>
      <c r="B3">
        <v>4.4408920985006262E-16</v>
      </c>
      <c r="C3">
        <v>7.7777777777777768</v>
      </c>
      <c r="D3">
        <v>3.3333333333333339</v>
      </c>
      <c r="E3">
        <v>0</v>
      </c>
      <c r="F3" t="s">
        <v>12</v>
      </c>
    </row>
    <row r="4" spans="1:9" x14ac:dyDescent="0.25">
      <c r="A4" t="s">
        <v>6</v>
      </c>
      <c r="F4" t="s">
        <v>9</v>
      </c>
      <c r="G4" t="s">
        <v>10</v>
      </c>
    </row>
    <row r="5" spans="1:9" x14ac:dyDescent="0.25">
      <c r="A5" t="s">
        <v>8</v>
      </c>
      <c r="B5">
        <v>7</v>
      </c>
      <c r="C5">
        <v>8</v>
      </c>
      <c r="D5">
        <v>6</v>
      </c>
      <c r="E5">
        <v>5</v>
      </c>
      <c r="F5">
        <f>SUMPRODUCT(B$3:E$3,B5:E5)</f>
        <v>82.222222222222214</v>
      </c>
      <c r="G5" t="s">
        <v>11</v>
      </c>
    </row>
    <row r="8" spans="1:9" x14ac:dyDescent="0.25">
      <c r="A8" s="1" t="s">
        <v>14</v>
      </c>
      <c r="B8" s="1"/>
      <c r="C8" s="1"/>
      <c r="D8" s="1"/>
      <c r="E8" s="1"/>
      <c r="F8" s="1"/>
      <c r="G8" s="1"/>
    </row>
    <row r="9" spans="1:9" x14ac:dyDescent="0.25">
      <c r="A9" t="s">
        <v>13</v>
      </c>
      <c r="B9" s="1"/>
      <c r="C9" s="1"/>
      <c r="D9" s="1"/>
      <c r="G9" t="s">
        <v>15</v>
      </c>
      <c r="H9" t="s">
        <v>16</v>
      </c>
      <c r="I9" t="s">
        <v>17</v>
      </c>
    </row>
    <row r="10" spans="1:9" x14ac:dyDescent="0.25">
      <c r="A10" s="4" t="s">
        <v>18</v>
      </c>
      <c r="B10" s="4"/>
      <c r="C10" s="3">
        <v>1</v>
      </c>
      <c r="D10">
        <v>3</v>
      </c>
      <c r="E10">
        <v>5</v>
      </c>
      <c r="F10">
        <v>3</v>
      </c>
      <c r="G10">
        <f>SUMPRODUCT(B$3:E$3,C10:F10)</f>
        <v>40</v>
      </c>
      <c r="H10" t="s">
        <v>21</v>
      </c>
      <c r="I10">
        <v>40</v>
      </c>
    </row>
    <row r="11" spans="1:9" x14ac:dyDescent="0.25">
      <c r="A11" s="4" t="s">
        <v>19</v>
      </c>
      <c r="B11" s="4"/>
      <c r="C11">
        <v>2</v>
      </c>
      <c r="D11">
        <v>6</v>
      </c>
      <c r="E11">
        <v>1</v>
      </c>
      <c r="F11">
        <v>0</v>
      </c>
      <c r="G11">
        <f>SUMPRODUCT(B$3:E$3,C11:F11)</f>
        <v>49.999999999999993</v>
      </c>
      <c r="H11" t="s">
        <v>21</v>
      </c>
      <c r="I11">
        <v>50</v>
      </c>
    </row>
    <row r="12" spans="1:9" x14ac:dyDescent="0.25">
      <c r="A12" s="4" t="s">
        <v>20</v>
      </c>
      <c r="B12" s="4"/>
      <c r="C12">
        <v>2</v>
      </c>
      <c r="D12" s="3">
        <v>3</v>
      </c>
      <c r="E12">
        <v>2</v>
      </c>
      <c r="F12">
        <v>5</v>
      </c>
      <c r="G12">
        <f>SUMPRODUCT(B$3:E$3,C12:F12)</f>
        <v>29.999999999999996</v>
      </c>
      <c r="H12" t="s">
        <v>21</v>
      </c>
      <c r="I12">
        <v>30</v>
      </c>
    </row>
  </sheetData>
  <scenarios current="0">
    <scenario name="214GAD2" count="4" user="user" comment="Автор: user , 2/18/2026">
      <inputCells r="B3" val="4.44089209850063E-16"/>
      <inputCells r="C3" val="7.77777777777778"/>
      <inputCells r="D3" val="3.33333333333333"/>
      <inputCells r="E3" val="0"/>
    </scenario>
    <scenario name="214Gad2.1" count="4" user="user" comment="Автор: user , 2/18/2026">
      <inputCells r="B3" val="4.44089209850063E-16"/>
      <inputCells r="C3" val="7.77777777777778"/>
      <inputCells r="D3" val="3.33333333333333"/>
      <inputCells r="E3" val="0"/>
    </scenario>
  </scenarios>
  <mergeCells count="6">
    <mergeCell ref="A1:F1"/>
    <mergeCell ref="A8:G8"/>
    <mergeCell ref="B9:D9"/>
    <mergeCell ref="A10:B10"/>
    <mergeCell ref="A11:B11"/>
    <mergeCell ref="A12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65F2-9CE3-4E56-B279-4E02B6AEE8A5}">
  <dimension ref="A1:I12"/>
  <sheetViews>
    <sheetView tabSelected="1" workbookViewId="0">
      <selection activeCell="E2" sqref="E2:E5"/>
    </sheetView>
  </sheetViews>
  <sheetFormatPr defaultRowHeight="15" x14ac:dyDescent="0.25"/>
  <sheetData>
    <row r="1" spans="1:9" x14ac:dyDescent="0.25">
      <c r="A1" s="1" t="s">
        <v>0</v>
      </c>
      <c r="B1" s="1"/>
      <c r="C1" s="1"/>
      <c r="D1" s="1"/>
      <c r="E1" s="1"/>
      <c r="F1" s="1"/>
    </row>
    <row r="2" spans="1:9" x14ac:dyDescent="0.25">
      <c r="A2" t="s">
        <v>1</v>
      </c>
      <c r="B2" t="s">
        <v>2</v>
      </c>
      <c r="C2" t="s">
        <v>3</v>
      </c>
      <c r="D2" t="s">
        <v>4</v>
      </c>
    </row>
    <row r="3" spans="1:9" x14ac:dyDescent="0.25">
      <c r="A3" t="s">
        <v>7</v>
      </c>
      <c r="B3">
        <v>4.4408920985006262E-16</v>
      </c>
      <c r="C3">
        <v>7.7777777777777768</v>
      </c>
      <c r="D3">
        <v>3.3333333333333339</v>
      </c>
      <c r="F3" t="s">
        <v>12</v>
      </c>
    </row>
    <row r="4" spans="1:9" x14ac:dyDescent="0.25">
      <c r="A4" t="s">
        <v>6</v>
      </c>
      <c r="F4" t="s">
        <v>9</v>
      </c>
      <c r="G4" t="s">
        <v>10</v>
      </c>
    </row>
    <row r="5" spans="1:9" x14ac:dyDescent="0.25">
      <c r="A5" t="s">
        <v>8</v>
      </c>
      <c r="B5">
        <v>7</v>
      </c>
      <c r="C5">
        <v>8</v>
      </c>
      <c r="D5">
        <v>6</v>
      </c>
      <c r="F5">
        <f>SUMPRODUCT(B$3:E$3,B5:E5)</f>
        <v>82.222222222222214</v>
      </c>
      <c r="G5" t="s">
        <v>11</v>
      </c>
    </row>
    <row r="8" spans="1:9" x14ac:dyDescent="0.25">
      <c r="A8" s="1" t="s">
        <v>14</v>
      </c>
      <c r="B8" s="1"/>
      <c r="C8" s="1"/>
      <c r="D8" s="1"/>
      <c r="E8" s="1"/>
      <c r="F8" s="1"/>
      <c r="G8" s="1"/>
    </row>
    <row r="9" spans="1:9" x14ac:dyDescent="0.25">
      <c r="A9" t="s">
        <v>13</v>
      </c>
      <c r="B9" s="1"/>
      <c r="C9" s="1"/>
      <c r="D9" s="1"/>
      <c r="G9" t="s">
        <v>15</v>
      </c>
      <c r="H9" t="s">
        <v>16</v>
      </c>
      <c r="I9" t="s">
        <v>17</v>
      </c>
    </row>
    <row r="10" spans="1:9" x14ac:dyDescent="0.25">
      <c r="A10" s="4" t="s">
        <v>18</v>
      </c>
      <c r="B10" s="4"/>
      <c r="C10" s="3">
        <v>3</v>
      </c>
      <c r="D10">
        <v>1</v>
      </c>
      <c r="E10">
        <v>4</v>
      </c>
      <c r="F10">
        <v>2</v>
      </c>
      <c r="G10">
        <f>SUMPRODUCT(B$3:E$3,C10:F10)</f>
        <v>21.111111111111114</v>
      </c>
      <c r="H10" t="s">
        <v>21</v>
      </c>
      <c r="I10">
        <v>40</v>
      </c>
    </row>
    <row r="11" spans="1:9" x14ac:dyDescent="0.25">
      <c r="A11" s="4" t="s">
        <v>19</v>
      </c>
      <c r="B11" s="4"/>
      <c r="C11">
        <v>3</v>
      </c>
      <c r="D11">
        <v>1</v>
      </c>
      <c r="E11">
        <v>2</v>
      </c>
      <c r="F11">
        <v>0</v>
      </c>
      <c r="G11">
        <f>SUMPRODUCT(B$3:E$3,C11:F11)</f>
        <v>14.444444444444446</v>
      </c>
      <c r="H11" t="s">
        <v>21</v>
      </c>
      <c r="I11">
        <v>50</v>
      </c>
    </row>
    <row r="12" spans="1:9" x14ac:dyDescent="0.25">
      <c r="A12" s="4" t="s">
        <v>20</v>
      </c>
      <c r="B12" s="4"/>
      <c r="C12">
        <v>2</v>
      </c>
      <c r="D12" s="3">
        <v>3</v>
      </c>
      <c r="E12">
        <v>1</v>
      </c>
      <c r="F12">
        <v>6</v>
      </c>
      <c r="G12">
        <f>SUMPRODUCT(B$3:E$3,C12:F12)</f>
        <v>26.666666666666664</v>
      </c>
      <c r="H12" t="s">
        <v>21</v>
      </c>
      <c r="I12">
        <v>30</v>
      </c>
    </row>
  </sheetData>
  <mergeCells count="6">
    <mergeCell ref="A1:F1"/>
    <mergeCell ref="A8:G8"/>
    <mergeCell ref="B9:D9"/>
    <mergeCell ref="A10:B10"/>
    <mergeCell ref="A11:B11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2026-02-18T07:15:36Z</dcterms:created>
  <dcterms:modified xsi:type="dcterms:W3CDTF">2026-02-18T08:12:19Z</dcterms:modified>
</cp:coreProperties>
</file>